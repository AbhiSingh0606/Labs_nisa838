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C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<sst xmlns="http://schemas.openxmlformats.org/spreadsheetml/2006/main" count="17" uniqueCount="17">
  <si>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Sample #</t>
  </si>
  <si>
    <t xml:space="preserve">ADC0 (V)</t>
  </si>
  <si>
    <t xml:space="preserve">ADC1 (V)</t>
  </si>
  <si>
    <t xml:space="preserve">Analysis</t>
  </si>
  <si>
    <t xml:space="preserve">ADC0 Max (V)</t>
  </si>
  <si>
    <t xml:space="preserve">ADC0 Min (V)</t>
  </si>
  <si>
    <t xml:space="preserve">ADC0 Amplitude (V)</t>
  </si>
  <si>
    <t xml:space="preserve">ADC0 Offset (V)</t>
  </si>
  <si>
    <t xml:space="preserve">ADC0 Peak Row</t>
  </si>
  <si>
    <t xml:space="preserve">ADC1 Max (V)</t>
  </si>
  <si>
    <t xml:space="preserve">ADC1 Min (V)</t>
  </si>
  <si>
    <t xml:space="preserve">ADC1 Amplitude (V)</t>
  </si>
  <si>
    <t xml:space="preserve">ADC1 Offset (V)</t>
  </si>
  <si>
    <t xml:space="preserve">ADC1 Peak Row</t>
  </si>
  <si>
    <t xml:space="preserve">Peak Row Difference (samples)</t>
  </si>
  <si>
    <t xml:space="preserve">Note</t>
  </si>
  <si>
    <t xml:space="preserve">Convert row difference to time using your actual sample interval to get phase lag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</si>
</sst>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ADC0 and ADC1 Sampled Voltages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'ADC Data'!B1</c:f>
              <c:strCache>
                <c:ptCount val="1"/>
                <c:pt idx="0">
                  <c:v>ADC0 (V)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'ADC Data'!$A$2:$A$81</c:f>
              <c:strCach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strCache>
            </c:strRef>
          </c:cat>
          <c:val>
            <c:numRef>
              <c:f>'ADC Data'!$B$2:$B$81</c:f>
              <c:numCache>
                <c:formatCode>General</c:formatCode>
                <c:ptCount val="80"/>
                <c:pt idx="0">
                  <c:v>0.5</c:v>
                </c:pt>
                <c:pt idx="1">
                  <c:v>2.2</c:v>
                </c:pt>
                <c:pt idx="2">
                  <c:v>4.2</c:v>
                </c:pt>
                <c:pt idx="3">
                  <c:v>4</c:v>
                </c:pt>
                <c:pt idx="4">
                  <c:v>2</c:v>
                </c:pt>
                <c:pt idx="5">
                  <c:v>0.5</c:v>
                </c:pt>
                <c:pt idx="6">
                  <c:v>1.4</c:v>
                </c:pt>
                <c:pt idx="7">
                  <c:v>3.6</c:v>
                </c:pt>
                <c:pt idx="8">
                  <c:v>4.4</c:v>
                </c:pt>
                <c:pt idx="9">
                  <c:v>2.8</c:v>
                </c:pt>
                <c:pt idx="10">
                  <c:v>0.8</c:v>
                </c:pt>
                <c:pt idx="11">
                  <c:v>0.8</c:v>
                </c:pt>
                <c:pt idx="12">
                  <c:v>2.8</c:v>
                </c:pt>
                <c:pt idx="13">
                  <c:v>4.4</c:v>
                </c:pt>
                <c:pt idx="14">
                  <c:v>3.6</c:v>
                </c:pt>
                <c:pt idx="15">
                  <c:v>1.4</c:v>
                </c:pt>
                <c:pt idx="16">
                  <c:v>0.5</c:v>
                </c:pt>
                <c:pt idx="17">
                  <c:v>2</c:v>
                </c:pt>
                <c:pt idx="18">
                  <c:v>4</c:v>
                </c:pt>
                <c:pt idx="19">
                  <c:v>4.2</c:v>
                </c:pt>
                <c:pt idx="20">
                  <c:v>2.2</c:v>
                </c:pt>
                <c:pt idx="21">
                  <c:v>0.5</c:v>
                </c:pt>
                <c:pt idx="22">
                  <c:v>1.2</c:v>
                </c:pt>
                <c:pt idx="23">
                  <c:v>3.4</c:v>
                </c:pt>
                <c:pt idx="24">
                  <c:v>4.4</c:v>
                </c:pt>
                <c:pt idx="25">
                  <c:v>3.1</c:v>
                </c:pt>
                <c:pt idx="26">
                  <c:v>0.9</c:v>
                </c:pt>
                <c:pt idx="27">
                  <c:v>0.7</c:v>
                </c:pt>
                <c:pt idx="28">
                  <c:v>2.6</c:v>
                </c:pt>
                <c:pt idx="29">
                  <c:v>4.3</c:v>
                </c:pt>
                <c:pt idx="30">
                  <c:v>3.8</c:v>
                </c:pt>
                <c:pt idx="31">
                  <c:v>1.6</c:v>
                </c:pt>
                <c:pt idx="32">
                  <c:v>0.5</c:v>
                </c:pt>
                <c:pt idx="33">
                  <c:v>1.7</c:v>
                </c:pt>
                <c:pt idx="34">
                  <c:v>3.9</c:v>
                </c:pt>
                <c:pt idx="35">
                  <c:v>4.3</c:v>
                </c:pt>
                <c:pt idx="36">
                  <c:v>2.5</c:v>
                </c:pt>
                <c:pt idx="37">
                  <c:v>0.6</c:v>
                </c:pt>
                <c:pt idx="38">
                  <c:v>1</c:v>
                </c:pt>
                <c:pt idx="39">
                  <c:v>3.2</c:v>
                </c:pt>
                <c:pt idx="40">
                  <c:v>0.5</c:v>
                </c:pt>
                <c:pt idx="41">
                  <c:v>2.2</c:v>
                </c:pt>
                <c:pt idx="42">
                  <c:v>4.2</c:v>
                </c:pt>
                <c:pt idx="43">
                  <c:v>4</c:v>
                </c:pt>
                <c:pt idx="44">
                  <c:v>2</c:v>
                </c:pt>
                <c:pt idx="45">
                  <c:v>0.5</c:v>
                </c:pt>
                <c:pt idx="46">
                  <c:v>1.4</c:v>
                </c:pt>
                <c:pt idx="47">
                  <c:v>3.6</c:v>
                </c:pt>
                <c:pt idx="48">
                  <c:v>4.4</c:v>
                </c:pt>
                <c:pt idx="49">
                  <c:v>2.8</c:v>
                </c:pt>
                <c:pt idx="50">
                  <c:v>0.8</c:v>
                </c:pt>
                <c:pt idx="51">
                  <c:v>0.8</c:v>
                </c:pt>
                <c:pt idx="52">
                  <c:v>2.8</c:v>
                </c:pt>
                <c:pt idx="53">
                  <c:v>4.4</c:v>
                </c:pt>
                <c:pt idx="54">
                  <c:v>3.6</c:v>
                </c:pt>
                <c:pt idx="55">
                  <c:v>1.4</c:v>
                </c:pt>
                <c:pt idx="56">
                  <c:v>0.5</c:v>
                </c:pt>
                <c:pt idx="57">
                  <c:v>2</c:v>
                </c:pt>
                <c:pt idx="58">
                  <c:v>4</c:v>
                </c:pt>
                <c:pt idx="59">
                  <c:v>4.2</c:v>
                </c:pt>
                <c:pt idx="60">
                  <c:v>2.2</c:v>
                </c:pt>
                <c:pt idx="61">
                  <c:v>0.5</c:v>
                </c:pt>
                <c:pt idx="62">
                  <c:v>1.2</c:v>
                </c:pt>
                <c:pt idx="63">
                  <c:v>3.4</c:v>
                </c:pt>
                <c:pt idx="64">
                  <c:v>4.4</c:v>
                </c:pt>
                <c:pt idx="65">
                  <c:v>3.1</c:v>
                </c:pt>
                <c:pt idx="66">
                  <c:v>0.9</c:v>
                </c:pt>
                <c:pt idx="67">
                  <c:v>0.7</c:v>
                </c:pt>
                <c:pt idx="68">
                  <c:v>2.6</c:v>
                </c:pt>
                <c:pt idx="69">
                  <c:v>4.3</c:v>
                </c:pt>
                <c:pt idx="70">
                  <c:v>3.8</c:v>
                </c:pt>
                <c:pt idx="71">
                  <c:v>1.6</c:v>
                </c:pt>
                <c:pt idx="72">
                  <c:v>0.5</c:v>
                </c:pt>
                <c:pt idx="73">
                  <c:v>1.7</c:v>
                </c:pt>
                <c:pt idx="74">
                  <c:v>3.9</c:v>
                </c:pt>
                <c:pt idx="75">
                  <c:v>4.3</c:v>
                </c:pt>
                <c:pt idx="76">
                  <c:v>2.5</c:v>
                </c:pt>
                <c:pt idx="77">
                  <c:v>0.6</c:v>
                </c:pt>
                <c:pt idx="78">
                  <c:v>1</c:v>
                </c:pt>
                <c:pt idx="79">
                  <c:v>3.2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'ADC Data'!C1</c:f>
              <c:strCache>
                <c:ptCount val="1"/>
                <c:pt idx="0">
                  <c:v>ADC1 (V)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'ADC Data'!$A$2:$A$81</c:f>
              <c:strCache>
                <c:ptCount val="8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</c:strCache>
            </c:strRef>
          </c:cat>
          <c:val>
            <c:numRef>
              <c:f>'ADC Data'!$C$2:$C$81</c:f>
              <c:numCache>
                <c:formatCode>General</c:formatCode>
                <c:ptCount val="80"/>
                <c:pt idx="0">
                  <c:v>2.3</c:v>
                </c:pt>
                <c:pt idx="1">
                  <c:v>3.3</c:v>
                </c:pt>
                <c:pt idx="2">
                  <c:v>3.3</c:v>
                </c:pt>
                <c:pt idx="3">
                  <c:v>2.3</c:v>
                </c:pt>
                <c:pt idx="4">
                  <c:v>1.5</c:v>
                </c:pt>
                <c:pt idx="5">
                  <c:v>1.9</c:v>
                </c:pt>
                <c:pt idx="6">
                  <c:v>3</c:v>
                </c:pt>
                <c:pt idx="7">
                  <c:v>3.4</c:v>
                </c:pt>
                <c:pt idx="8">
                  <c:v>2.7</c:v>
                </c:pt>
                <c:pt idx="9">
                  <c:v>1.7</c:v>
                </c:pt>
                <c:pt idx="10">
                  <c:v>1.6</c:v>
                </c:pt>
                <c:pt idx="11">
                  <c:v>2.6</c:v>
                </c:pt>
                <c:pt idx="12">
                  <c:v>3.4</c:v>
                </c:pt>
                <c:pt idx="13">
                  <c:v>3.1</c:v>
                </c:pt>
                <c:pt idx="14">
                  <c:v>2</c:v>
                </c:pt>
                <c:pt idx="15">
                  <c:v>1.5</c:v>
                </c:pt>
                <c:pt idx="16">
                  <c:v>2.1</c:v>
                </c:pt>
                <c:pt idx="17">
                  <c:v>3.2</c:v>
                </c:pt>
                <c:pt idx="18">
                  <c:v>3.3</c:v>
                </c:pt>
                <c:pt idx="19">
                  <c:v>2.4</c:v>
                </c:pt>
                <c:pt idx="20">
                  <c:v>1.5</c:v>
                </c:pt>
                <c:pt idx="21">
                  <c:v>1.8</c:v>
                </c:pt>
                <c:pt idx="22">
                  <c:v>2.9</c:v>
                </c:pt>
                <c:pt idx="23">
                  <c:v>3.4</c:v>
                </c:pt>
                <c:pt idx="24">
                  <c:v>2.8</c:v>
                </c:pt>
                <c:pt idx="25">
                  <c:v>1.7</c:v>
                </c:pt>
                <c:pt idx="26">
                  <c:v>1.5</c:v>
                </c:pt>
                <c:pt idx="27">
                  <c:v>2.4</c:v>
                </c:pt>
                <c:pt idx="28">
                  <c:v>3.4</c:v>
                </c:pt>
                <c:pt idx="29">
                  <c:v>3.2</c:v>
                </c:pt>
                <c:pt idx="30">
                  <c:v>2.1</c:v>
                </c:pt>
                <c:pt idx="31">
                  <c:v>1.5</c:v>
                </c:pt>
                <c:pt idx="32">
                  <c:v>2</c:v>
                </c:pt>
                <c:pt idx="33">
                  <c:v>3.1</c:v>
                </c:pt>
                <c:pt idx="34">
                  <c:v>3.4</c:v>
                </c:pt>
                <c:pt idx="35">
                  <c:v>2.5</c:v>
                </c:pt>
                <c:pt idx="36">
                  <c:v>1.6</c:v>
                </c:pt>
                <c:pt idx="37">
                  <c:v>1.7</c:v>
                </c:pt>
                <c:pt idx="38">
                  <c:v>2.7</c:v>
                </c:pt>
                <c:pt idx="39">
                  <c:v>3.4</c:v>
                </c:pt>
                <c:pt idx="40">
                  <c:v>2.3</c:v>
                </c:pt>
                <c:pt idx="41">
                  <c:v>3.3</c:v>
                </c:pt>
                <c:pt idx="42">
                  <c:v>3.3</c:v>
                </c:pt>
                <c:pt idx="43">
                  <c:v>2.3</c:v>
                </c:pt>
                <c:pt idx="44">
                  <c:v>1.5</c:v>
                </c:pt>
                <c:pt idx="45">
                  <c:v>1.9</c:v>
                </c:pt>
                <c:pt idx="46">
                  <c:v>3</c:v>
                </c:pt>
                <c:pt idx="47">
                  <c:v>3.4</c:v>
                </c:pt>
                <c:pt idx="48">
                  <c:v>2.7</c:v>
                </c:pt>
                <c:pt idx="49">
                  <c:v>1.7</c:v>
                </c:pt>
                <c:pt idx="50">
                  <c:v>1.6</c:v>
                </c:pt>
                <c:pt idx="51">
                  <c:v>2.6</c:v>
                </c:pt>
                <c:pt idx="52">
                  <c:v>3.4</c:v>
                </c:pt>
                <c:pt idx="53">
                  <c:v>3.1</c:v>
                </c:pt>
                <c:pt idx="54">
                  <c:v>2</c:v>
                </c:pt>
                <c:pt idx="55">
                  <c:v>1.5</c:v>
                </c:pt>
                <c:pt idx="56">
                  <c:v>2.1</c:v>
                </c:pt>
                <c:pt idx="57">
                  <c:v>3.2</c:v>
                </c:pt>
                <c:pt idx="58">
                  <c:v>3.3</c:v>
                </c:pt>
                <c:pt idx="59">
                  <c:v>2.4</c:v>
                </c:pt>
                <c:pt idx="60">
                  <c:v>1.5</c:v>
                </c:pt>
                <c:pt idx="61">
                  <c:v>1.8</c:v>
                </c:pt>
                <c:pt idx="62">
                  <c:v>2.9</c:v>
                </c:pt>
                <c:pt idx="63">
                  <c:v>3.4</c:v>
                </c:pt>
                <c:pt idx="64">
                  <c:v>2.8</c:v>
                </c:pt>
                <c:pt idx="65">
                  <c:v>1.7</c:v>
                </c:pt>
                <c:pt idx="66">
                  <c:v>1.5</c:v>
                </c:pt>
                <c:pt idx="67">
                  <c:v>2.4</c:v>
                </c:pt>
                <c:pt idx="68">
                  <c:v>3.4</c:v>
                </c:pt>
                <c:pt idx="69">
                  <c:v>3.2</c:v>
                </c:pt>
                <c:pt idx="70">
                  <c:v>2.1</c:v>
                </c:pt>
                <c:pt idx="71">
                  <c:v>1.5</c:v>
                </c:pt>
                <c:pt idx="72">
                  <c:v>2</c:v>
                </c:pt>
                <c:pt idx="73">
                  <c:v>3.1</c:v>
                </c:pt>
                <c:pt idx="74">
                  <c:v>3.4</c:v>
                </c:pt>
                <c:pt idx="75">
                  <c:v>2.5</c:v>
                </c:pt>
                <c:pt idx="76">
                  <c:v>1.6</c:v>
                </c:pt>
                <c:pt idx="77">
                  <c:v>1.7</c:v>
                </c:pt>
                <c:pt idx="78">
                  <c:v>2.7</c:v>
                </c:pt>
                <c:pt idx="79">
                  <c:v>3.4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035827"/>
        <c:axId val="57437112"/>
      </c:lineChart>
      <c:catAx>
        <c:axId val="840358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Sample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37112"/>
        <c:crosses val="autoZero"/>
        <c:auto val="1"/>
        <c:lblAlgn val="ctr"/>
        <c:lblOffset val="100"/>
        <c:noMultiLvlLbl val="0"/>
      </c:catAx>
      <c:valAx>
        <c:axId val="57437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358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16</xdr:row>
      <xdr:rowOff>0</xdr:rowOff>
    </xdr:from>
    <xdr:to>
      <xdr:col>11</xdr:col>
      <xdr:colOff>436680</xdr:colOff>
      <xdr:row>38</xdr:row>
      <xdr:rowOff>128880</xdr:rowOff>
    </xdr:to>
    <xdr:graphicFrame>
      <xdr:nvGraphicFramePr>
        <xdr:cNvPr id="0" name="Chart 1"/>
        <xdr:cNvGraphicFramePr/>
      </xdr:nvGraphicFramePr>
      <xdr:xfrm>
        <a:off x="2725920" y="304812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5" style="0" width="28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3</v>
      </c>
    </row>
    <row r="2" customFormat="false" ht="15" hidden="false" customHeight="false" outlineLevel="0" collapsed="false">
      <c r="A2" s="2" t="n">
        <v>1</v>
      </c>
      <c r="B2" s="2" t="n">
        <v>0.5</v>
      </c>
      <c r="C2" s="2" t="n">
        <v>2.3</v>
      </c>
      <c r="E2" s="3" t="s">
        <v>4</v>
      </c>
      <c r="F2" s="3" t="n">
        <f aca="false">MAX(B2:B81)</f>
        <v>4.4</v>
      </c>
    </row>
    <row r="3" customFormat="false" ht="15" hidden="false" customHeight="false" outlineLevel="0" collapsed="false">
      <c r="A3" s="2" t="n">
        <v>2</v>
      </c>
      <c r="B3" s="2" t="n">
        <v>2.2</v>
      </c>
      <c r="C3" s="2" t="n">
        <v>3.3</v>
      </c>
      <c r="E3" s="3" t="s">
        <v>5</v>
      </c>
      <c r="F3" s="3" t="n">
        <f aca="false">MIN(B2:B81)</f>
        <v>0.5</v>
      </c>
    </row>
    <row r="4" customFormat="false" ht="15" hidden="false" customHeight="false" outlineLevel="0" collapsed="false">
      <c r="A4" s="2" t="n">
        <v>3</v>
      </c>
      <c r="B4" s="2" t="n">
        <v>4.2</v>
      </c>
      <c r="C4" s="2" t="n">
        <v>3.3</v>
      </c>
      <c r="E4" s="3" t="s">
        <v>6</v>
      </c>
      <c r="F4" s="3" t="n">
        <f aca="false">(F2-F3)/2</f>
        <v>1.95</v>
      </c>
    </row>
    <row r="5" customFormat="false" ht="15" hidden="false" customHeight="false" outlineLevel="0" collapsed="false">
      <c r="A5" s="2" t="n">
        <v>4</v>
      </c>
      <c r="B5" s="2" t="n">
        <v>4</v>
      </c>
      <c r="C5" s="2" t="n">
        <v>2.3</v>
      </c>
      <c r="E5" s="3" t="s">
        <v>7</v>
      </c>
      <c r="F5" s="3" t="n">
        <f aca="false">(F2+F3)/2</f>
        <v>2.45</v>
      </c>
    </row>
    <row r="6" customFormat="false" ht="15" hidden="false" customHeight="false" outlineLevel="0" collapsed="false">
      <c r="A6" s="2" t="n">
        <v>5</v>
      </c>
      <c r="B6" s="2" t="n">
        <v>2</v>
      </c>
      <c r="C6" s="2" t="n">
        <v>1.5</v>
      </c>
      <c r="E6" s="3" t="s">
        <v>8</v>
      </c>
      <c r="F6" s="3" t="n">
        <f aca="false">MATCH(F2,B2:B81,0)</f>
        <v>9</v>
      </c>
    </row>
    <row r="7" customFormat="false" ht="15" hidden="false" customHeight="false" outlineLevel="0" collapsed="false">
      <c r="A7" s="2" t="n">
        <v>6</v>
      </c>
      <c r="B7" s="2" t="n">
        <v>0.5</v>
      </c>
      <c r="C7" s="2" t="n">
        <v>1.9</v>
      </c>
      <c r="E7" s="3"/>
    </row>
    <row r="8" customFormat="false" ht="15" hidden="false" customHeight="false" outlineLevel="0" collapsed="false">
      <c r="A8" s="2" t="n">
        <v>7</v>
      </c>
      <c r="B8" s="2" t="n">
        <v>1.4</v>
      </c>
      <c r="C8" s="2" t="n">
        <v>3</v>
      </c>
      <c r="E8" s="3" t="s">
        <v>9</v>
      </c>
      <c r="F8" s="3" t="n">
        <f aca="false">MAX(C2:C81)</f>
        <v>3.4</v>
      </c>
    </row>
    <row r="9" customFormat="false" ht="15" hidden="false" customHeight="false" outlineLevel="0" collapsed="false">
      <c r="A9" s="2" t="n">
        <v>8</v>
      </c>
      <c r="B9" s="2" t="n">
        <v>3.6</v>
      </c>
      <c r="C9" s="2" t="n">
        <v>3.4</v>
      </c>
      <c r="E9" s="3" t="s">
        <v>10</v>
      </c>
      <c r="F9" s="3" t="n">
        <f aca="false">MIN(C2:C81)</f>
        <v>1.5</v>
      </c>
    </row>
    <row r="10" customFormat="false" ht="15" hidden="false" customHeight="false" outlineLevel="0" collapsed="false">
      <c r="A10" s="2" t="n">
        <v>9</v>
      </c>
      <c r="B10" s="2" t="n">
        <v>4.4</v>
      </c>
      <c r="C10" s="2" t="n">
        <v>2.7</v>
      </c>
      <c r="E10" s="3" t="s">
        <v>11</v>
      </c>
      <c r="F10" s="3" t="n">
        <f aca="false">(F8-F9)/2</f>
        <v>0.95</v>
      </c>
    </row>
    <row r="11" customFormat="false" ht="15" hidden="false" customHeight="false" outlineLevel="0" collapsed="false">
      <c r="A11" s="2" t="n">
        <v>10</v>
      </c>
      <c r="B11" s="2" t="n">
        <v>2.8</v>
      </c>
      <c r="C11" s="2" t="n">
        <v>1.7</v>
      </c>
      <c r="E11" s="3" t="s">
        <v>12</v>
      </c>
      <c r="F11" s="3" t="n">
        <f aca="false">(F8+F9)/2</f>
        <v>2.45</v>
      </c>
    </row>
    <row r="12" customFormat="false" ht="15" hidden="false" customHeight="false" outlineLevel="0" collapsed="false">
      <c r="A12" s="2" t="n">
        <v>11</v>
      </c>
      <c r="B12" s="2" t="n">
        <v>0.8</v>
      </c>
      <c r="C12" s="2" t="n">
        <v>1.6</v>
      </c>
      <c r="E12" s="3" t="s">
        <v>13</v>
      </c>
      <c r="F12" s="3" t="n">
        <f aca="false">MATCH(F8,C2:C81,0)</f>
        <v>8</v>
      </c>
    </row>
    <row r="13" customFormat="false" ht="15" hidden="false" customHeight="false" outlineLevel="0" collapsed="false">
      <c r="A13" s="2" t="n">
        <v>12</v>
      </c>
      <c r="B13" s="2" t="n">
        <v>0.8</v>
      </c>
      <c r="C13" s="2" t="n">
        <v>2.6</v>
      </c>
      <c r="E13" s="3"/>
    </row>
    <row r="14" customFormat="false" ht="15" hidden="false" customHeight="false" outlineLevel="0" collapsed="false">
      <c r="A14" s="2" t="n">
        <v>13</v>
      </c>
      <c r="B14" s="2" t="n">
        <v>2.8</v>
      </c>
      <c r="C14" s="2" t="n">
        <v>3.4</v>
      </c>
      <c r="E14" s="3" t="s">
        <v>14</v>
      </c>
      <c r="F14" s="3" t="n">
        <f aca="false">F11-F5</f>
        <v>0</v>
      </c>
    </row>
    <row r="15" customFormat="false" ht="15" hidden="false" customHeight="false" outlineLevel="0" collapsed="false">
      <c r="A15" s="2" t="n">
        <v>14</v>
      </c>
      <c r="B15" s="2" t="n">
        <v>4.4</v>
      </c>
      <c r="C15" s="2" t="n">
        <v>3.1</v>
      </c>
      <c r="E15" s="3" t="s">
        <v>15</v>
      </c>
      <c r="F15" s="3" t="s">
        <v>16</v>
      </c>
    </row>
    <row r="16" customFormat="false" ht="15" hidden="false" customHeight="false" outlineLevel="0" collapsed="false">
      <c r="A16" s="2" t="n">
        <v>15</v>
      </c>
      <c r="B16" s="2" t="n">
        <v>3.6</v>
      </c>
      <c r="C16" s="2" t="n">
        <v>2</v>
      </c>
    </row>
    <row r="17" customFormat="false" ht="15" hidden="false" customHeight="false" outlineLevel="0" collapsed="false">
      <c r="A17" s="2" t="n">
        <v>16</v>
      </c>
      <c r="B17" s="2" t="n">
        <v>1.4</v>
      </c>
      <c r="C17" s="2" t="n">
        <v>1.5</v>
      </c>
    </row>
    <row r="18" customFormat="false" ht="15" hidden="false" customHeight="false" outlineLevel="0" collapsed="false">
      <c r="A18" s="2" t="n">
        <v>17</v>
      </c>
      <c r="B18" s="2" t="n">
        <v>0.5</v>
      </c>
      <c r="C18" s="2" t="n">
        <v>2.1</v>
      </c>
    </row>
    <row r="19" customFormat="false" ht="15" hidden="false" customHeight="false" outlineLevel="0" collapsed="false">
      <c r="A19" s="2" t="n">
        <v>18</v>
      </c>
      <c r="B19" s="2" t="n">
        <v>2</v>
      </c>
      <c r="C19" s="2" t="n">
        <v>3.2</v>
      </c>
    </row>
    <row r="20" customFormat="false" ht="15" hidden="false" customHeight="false" outlineLevel="0" collapsed="false">
      <c r="A20" s="2" t="n">
        <v>19</v>
      </c>
      <c r="B20" s="2" t="n">
        <v>4</v>
      </c>
      <c r="C20" s="2" t="n">
        <v>3.3</v>
      </c>
    </row>
    <row r="21" customFormat="false" ht="15" hidden="false" customHeight="false" outlineLevel="0" collapsed="false">
      <c r="A21" s="2" t="n">
        <v>20</v>
      </c>
      <c r="B21" s="2" t="n">
        <v>4.2</v>
      </c>
      <c r="C21" s="2" t="n">
        <v>2.4</v>
      </c>
    </row>
    <row r="22" customFormat="false" ht="15" hidden="false" customHeight="false" outlineLevel="0" collapsed="false">
      <c r="A22" s="2" t="n">
        <v>21</v>
      </c>
      <c r="B22" s="2" t="n">
        <v>2.2</v>
      </c>
      <c r="C22" s="2" t="n">
        <v>1.5</v>
      </c>
    </row>
    <row r="23" customFormat="false" ht="15" hidden="false" customHeight="false" outlineLevel="0" collapsed="false">
      <c r="A23" s="2" t="n">
        <v>22</v>
      </c>
      <c r="B23" s="2" t="n">
        <v>0.5</v>
      </c>
      <c r="C23" s="2" t="n">
        <v>1.8</v>
      </c>
    </row>
    <row r="24" customFormat="false" ht="15" hidden="false" customHeight="false" outlineLevel="0" collapsed="false">
      <c r="A24" s="2" t="n">
        <v>23</v>
      </c>
      <c r="B24" s="2" t="n">
        <v>1.2</v>
      </c>
      <c r="C24" s="2" t="n">
        <v>2.9</v>
      </c>
    </row>
    <row r="25" customFormat="false" ht="15" hidden="false" customHeight="false" outlineLevel="0" collapsed="false">
      <c r="A25" s="2" t="n">
        <v>24</v>
      </c>
      <c r="B25" s="2" t="n">
        <v>3.4</v>
      </c>
      <c r="C25" s="2" t="n">
        <v>3.4</v>
      </c>
    </row>
    <row r="26" customFormat="false" ht="15" hidden="false" customHeight="false" outlineLevel="0" collapsed="false">
      <c r="A26" s="2" t="n">
        <v>25</v>
      </c>
      <c r="B26" s="2" t="n">
        <v>4.4</v>
      </c>
      <c r="C26" s="2" t="n">
        <v>2.8</v>
      </c>
    </row>
    <row r="27" customFormat="false" ht="15" hidden="false" customHeight="false" outlineLevel="0" collapsed="false">
      <c r="A27" s="2" t="n">
        <v>26</v>
      </c>
      <c r="B27" s="2" t="n">
        <v>3.1</v>
      </c>
      <c r="C27" s="2" t="n">
        <v>1.7</v>
      </c>
    </row>
    <row r="28" customFormat="false" ht="15" hidden="false" customHeight="false" outlineLevel="0" collapsed="false">
      <c r="A28" s="2" t="n">
        <v>27</v>
      </c>
      <c r="B28" s="2" t="n">
        <v>0.9</v>
      </c>
      <c r="C28" s="2" t="n">
        <v>1.5</v>
      </c>
    </row>
    <row r="29" customFormat="false" ht="15" hidden="false" customHeight="false" outlineLevel="0" collapsed="false">
      <c r="A29" s="2" t="n">
        <v>28</v>
      </c>
      <c r="B29" s="2" t="n">
        <v>0.7</v>
      </c>
      <c r="C29" s="2" t="n">
        <v>2.4</v>
      </c>
    </row>
    <row r="30" customFormat="false" ht="15" hidden="false" customHeight="false" outlineLevel="0" collapsed="false">
      <c r="A30" s="2" t="n">
        <v>29</v>
      </c>
      <c r="B30" s="2" t="n">
        <v>2.6</v>
      </c>
      <c r="C30" s="2" t="n">
        <v>3.4</v>
      </c>
    </row>
    <row r="31" customFormat="false" ht="15" hidden="false" customHeight="false" outlineLevel="0" collapsed="false">
      <c r="A31" s="2" t="n">
        <v>30</v>
      </c>
      <c r="B31" s="2" t="n">
        <v>4.3</v>
      </c>
      <c r="C31" s="2" t="n">
        <v>3.2</v>
      </c>
    </row>
    <row r="32" customFormat="false" ht="15" hidden="false" customHeight="false" outlineLevel="0" collapsed="false">
      <c r="A32" s="2" t="n">
        <v>31</v>
      </c>
      <c r="B32" s="2" t="n">
        <v>3.8</v>
      </c>
      <c r="C32" s="2" t="n">
        <v>2.1</v>
      </c>
    </row>
    <row r="33" customFormat="false" ht="15" hidden="false" customHeight="false" outlineLevel="0" collapsed="false">
      <c r="A33" s="2" t="n">
        <v>32</v>
      </c>
      <c r="B33" s="2" t="n">
        <v>1.6</v>
      </c>
      <c r="C33" s="2" t="n">
        <v>1.5</v>
      </c>
    </row>
    <row r="34" customFormat="false" ht="15" hidden="false" customHeight="false" outlineLevel="0" collapsed="false">
      <c r="A34" s="2" t="n">
        <v>33</v>
      </c>
      <c r="B34" s="2" t="n">
        <v>0.5</v>
      </c>
      <c r="C34" s="2" t="n">
        <v>2</v>
      </c>
    </row>
    <row r="35" customFormat="false" ht="15" hidden="false" customHeight="false" outlineLevel="0" collapsed="false">
      <c r="A35" s="2" t="n">
        <v>34</v>
      </c>
      <c r="B35" s="2" t="n">
        <v>1.7</v>
      </c>
      <c r="C35" s="2" t="n">
        <v>3.1</v>
      </c>
    </row>
    <row r="36" customFormat="false" ht="15" hidden="false" customHeight="false" outlineLevel="0" collapsed="false">
      <c r="A36" s="2" t="n">
        <v>35</v>
      </c>
      <c r="B36" s="2" t="n">
        <v>3.9</v>
      </c>
      <c r="C36" s="2" t="n">
        <v>3.4</v>
      </c>
    </row>
    <row r="37" customFormat="false" ht="15" hidden="false" customHeight="false" outlineLevel="0" collapsed="false">
      <c r="A37" s="2" t="n">
        <v>36</v>
      </c>
      <c r="B37" s="2" t="n">
        <v>4.3</v>
      </c>
      <c r="C37" s="2" t="n">
        <v>2.5</v>
      </c>
    </row>
    <row r="38" customFormat="false" ht="15" hidden="false" customHeight="false" outlineLevel="0" collapsed="false">
      <c r="A38" s="2" t="n">
        <v>37</v>
      </c>
      <c r="B38" s="2" t="n">
        <v>2.5</v>
      </c>
      <c r="C38" s="2" t="n">
        <v>1.6</v>
      </c>
    </row>
    <row r="39" customFormat="false" ht="15" hidden="false" customHeight="false" outlineLevel="0" collapsed="false">
      <c r="A39" s="2" t="n">
        <v>38</v>
      </c>
      <c r="B39" s="2" t="n">
        <v>0.6</v>
      </c>
      <c r="C39" s="2" t="n">
        <v>1.7</v>
      </c>
    </row>
    <row r="40" customFormat="false" ht="15" hidden="false" customHeight="false" outlineLevel="0" collapsed="false">
      <c r="A40" s="2" t="n">
        <v>39</v>
      </c>
      <c r="B40" s="2" t="n">
        <v>1</v>
      </c>
      <c r="C40" s="2" t="n">
        <v>2.7</v>
      </c>
    </row>
    <row r="41" customFormat="false" ht="15" hidden="false" customHeight="false" outlineLevel="0" collapsed="false">
      <c r="A41" s="2" t="n">
        <v>40</v>
      </c>
      <c r="B41" s="2" t="n">
        <v>3.2</v>
      </c>
      <c r="C41" s="2" t="n">
        <v>3.4</v>
      </c>
    </row>
    <row r="42" customFormat="false" ht="15" hidden="false" customHeight="false" outlineLevel="0" collapsed="false">
      <c r="A42" s="2" t="n">
        <v>41</v>
      </c>
      <c r="B42" s="2" t="n">
        <v>0.5</v>
      </c>
      <c r="C42" s="2" t="n">
        <v>2.3</v>
      </c>
    </row>
    <row r="43" customFormat="false" ht="15" hidden="false" customHeight="false" outlineLevel="0" collapsed="false">
      <c r="A43" s="2" t="n">
        <v>42</v>
      </c>
      <c r="B43" s="2" t="n">
        <v>2.2</v>
      </c>
      <c r="C43" s="2" t="n">
        <v>3.3</v>
      </c>
    </row>
    <row r="44" customFormat="false" ht="15" hidden="false" customHeight="false" outlineLevel="0" collapsed="false">
      <c r="A44" s="2" t="n">
        <v>43</v>
      </c>
      <c r="B44" s="2" t="n">
        <v>4.2</v>
      </c>
      <c r="C44" s="2" t="n">
        <v>3.3</v>
      </c>
    </row>
    <row r="45" customFormat="false" ht="15" hidden="false" customHeight="false" outlineLevel="0" collapsed="false">
      <c r="A45" s="2" t="n">
        <v>44</v>
      </c>
      <c r="B45" s="2" t="n">
        <v>4</v>
      </c>
      <c r="C45" s="2" t="n">
        <v>2.3</v>
      </c>
    </row>
    <row r="46" customFormat="false" ht="15" hidden="false" customHeight="false" outlineLevel="0" collapsed="false">
      <c r="A46" s="2" t="n">
        <v>45</v>
      </c>
      <c r="B46" s="2" t="n">
        <v>2</v>
      </c>
      <c r="C46" s="2" t="n">
        <v>1.5</v>
      </c>
    </row>
    <row r="47" customFormat="false" ht="15" hidden="false" customHeight="false" outlineLevel="0" collapsed="false">
      <c r="A47" s="2" t="n">
        <v>46</v>
      </c>
      <c r="B47" s="2" t="n">
        <v>0.5</v>
      </c>
      <c r="C47" s="2" t="n">
        <v>1.9</v>
      </c>
    </row>
    <row r="48" customFormat="false" ht="15" hidden="false" customHeight="false" outlineLevel="0" collapsed="false">
      <c r="A48" s="2" t="n">
        <v>47</v>
      </c>
      <c r="B48" s="2" t="n">
        <v>1.4</v>
      </c>
      <c r="C48" s="2" t="n">
        <v>3</v>
      </c>
    </row>
    <row r="49" customFormat="false" ht="15" hidden="false" customHeight="false" outlineLevel="0" collapsed="false">
      <c r="A49" s="2" t="n">
        <v>48</v>
      </c>
      <c r="B49" s="2" t="n">
        <v>3.6</v>
      </c>
      <c r="C49" s="2" t="n">
        <v>3.4</v>
      </c>
    </row>
    <row r="50" customFormat="false" ht="15" hidden="false" customHeight="false" outlineLevel="0" collapsed="false">
      <c r="A50" s="2" t="n">
        <v>49</v>
      </c>
      <c r="B50" s="2" t="n">
        <v>4.4</v>
      </c>
      <c r="C50" s="2" t="n">
        <v>2.7</v>
      </c>
    </row>
    <row r="51" customFormat="false" ht="15" hidden="false" customHeight="false" outlineLevel="0" collapsed="false">
      <c r="A51" s="2" t="n">
        <v>50</v>
      </c>
      <c r="B51" s="2" t="n">
        <v>2.8</v>
      </c>
      <c r="C51" s="2" t="n">
        <v>1.7</v>
      </c>
    </row>
    <row r="52" customFormat="false" ht="15" hidden="false" customHeight="false" outlineLevel="0" collapsed="false">
      <c r="A52" s="2" t="n">
        <v>51</v>
      </c>
      <c r="B52" s="2" t="n">
        <v>0.8</v>
      </c>
      <c r="C52" s="2" t="n">
        <v>1.6</v>
      </c>
    </row>
    <row r="53" customFormat="false" ht="15" hidden="false" customHeight="false" outlineLevel="0" collapsed="false">
      <c r="A53" s="2" t="n">
        <v>52</v>
      </c>
      <c r="B53" s="2" t="n">
        <v>0.8</v>
      </c>
      <c r="C53" s="2" t="n">
        <v>2.6</v>
      </c>
    </row>
    <row r="54" customFormat="false" ht="15" hidden="false" customHeight="false" outlineLevel="0" collapsed="false">
      <c r="A54" s="2" t="n">
        <v>53</v>
      </c>
      <c r="B54" s="2" t="n">
        <v>2.8</v>
      </c>
      <c r="C54" s="2" t="n">
        <v>3.4</v>
      </c>
    </row>
    <row r="55" customFormat="false" ht="15" hidden="false" customHeight="false" outlineLevel="0" collapsed="false">
      <c r="A55" s="2" t="n">
        <v>54</v>
      </c>
      <c r="B55" s="2" t="n">
        <v>4.4</v>
      </c>
      <c r="C55" s="2" t="n">
        <v>3.1</v>
      </c>
    </row>
    <row r="56" customFormat="false" ht="15" hidden="false" customHeight="false" outlineLevel="0" collapsed="false">
      <c r="A56" s="2" t="n">
        <v>55</v>
      </c>
      <c r="B56" s="2" t="n">
        <v>3.6</v>
      </c>
      <c r="C56" s="2" t="n">
        <v>2</v>
      </c>
    </row>
    <row r="57" customFormat="false" ht="15" hidden="false" customHeight="false" outlineLevel="0" collapsed="false">
      <c r="A57" s="2" t="n">
        <v>56</v>
      </c>
      <c r="B57" s="2" t="n">
        <v>1.4</v>
      </c>
      <c r="C57" s="2" t="n">
        <v>1.5</v>
      </c>
    </row>
    <row r="58" customFormat="false" ht="15" hidden="false" customHeight="false" outlineLevel="0" collapsed="false">
      <c r="A58" s="2" t="n">
        <v>57</v>
      </c>
      <c r="B58" s="2" t="n">
        <v>0.5</v>
      </c>
      <c r="C58" s="2" t="n">
        <v>2.1</v>
      </c>
    </row>
    <row r="59" customFormat="false" ht="15" hidden="false" customHeight="false" outlineLevel="0" collapsed="false">
      <c r="A59" s="2" t="n">
        <v>58</v>
      </c>
      <c r="B59" s="2" t="n">
        <v>2</v>
      </c>
      <c r="C59" s="2" t="n">
        <v>3.2</v>
      </c>
    </row>
    <row r="60" customFormat="false" ht="15" hidden="false" customHeight="false" outlineLevel="0" collapsed="false">
      <c r="A60" s="2" t="n">
        <v>59</v>
      </c>
      <c r="B60" s="2" t="n">
        <v>4</v>
      </c>
      <c r="C60" s="2" t="n">
        <v>3.3</v>
      </c>
    </row>
    <row r="61" customFormat="false" ht="15" hidden="false" customHeight="false" outlineLevel="0" collapsed="false">
      <c r="A61" s="2" t="n">
        <v>60</v>
      </c>
      <c r="B61" s="2" t="n">
        <v>4.2</v>
      </c>
      <c r="C61" s="2" t="n">
        <v>2.4</v>
      </c>
    </row>
    <row r="62" customFormat="false" ht="15" hidden="false" customHeight="false" outlineLevel="0" collapsed="false">
      <c r="A62" s="2" t="n">
        <v>61</v>
      </c>
      <c r="B62" s="2" t="n">
        <v>2.2</v>
      </c>
      <c r="C62" s="2" t="n">
        <v>1.5</v>
      </c>
    </row>
    <row r="63" customFormat="false" ht="15" hidden="false" customHeight="false" outlineLevel="0" collapsed="false">
      <c r="A63" s="2" t="n">
        <v>62</v>
      </c>
      <c r="B63" s="2" t="n">
        <v>0.5</v>
      </c>
      <c r="C63" s="2" t="n">
        <v>1.8</v>
      </c>
    </row>
    <row r="64" customFormat="false" ht="15" hidden="false" customHeight="false" outlineLevel="0" collapsed="false">
      <c r="A64" s="2" t="n">
        <v>63</v>
      </c>
      <c r="B64" s="2" t="n">
        <v>1.2</v>
      </c>
      <c r="C64" s="2" t="n">
        <v>2.9</v>
      </c>
    </row>
    <row r="65" customFormat="false" ht="15" hidden="false" customHeight="false" outlineLevel="0" collapsed="false">
      <c r="A65" s="2" t="n">
        <v>64</v>
      </c>
      <c r="B65" s="2" t="n">
        <v>3.4</v>
      </c>
      <c r="C65" s="2" t="n">
        <v>3.4</v>
      </c>
    </row>
    <row r="66" customFormat="false" ht="15" hidden="false" customHeight="false" outlineLevel="0" collapsed="false">
      <c r="A66" s="2" t="n">
        <v>65</v>
      </c>
      <c r="B66" s="2" t="n">
        <v>4.4</v>
      </c>
      <c r="C66" s="2" t="n">
        <v>2.8</v>
      </c>
    </row>
    <row r="67" customFormat="false" ht="15" hidden="false" customHeight="false" outlineLevel="0" collapsed="false">
      <c r="A67" s="2" t="n">
        <v>66</v>
      </c>
      <c r="B67" s="2" t="n">
        <v>3.1</v>
      </c>
      <c r="C67" s="2" t="n">
        <v>1.7</v>
      </c>
    </row>
    <row r="68" customFormat="false" ht="15" hidden="false" customHeight="false" outlineLevel="0" collapsed="false">
      <c r="A68" s="2" t="n">
        <v>67</v>
      </c>
      <c r="B68" s="2" t="n">
        <v>0.9</v>
      </c>
      <c r="C68" s="2" t="n">
        <v>1.5</v>
      </c>
    </row>
    <row r="69" customFormat="false" ht="15" hidden="false" customHeight="false" outlineLevel="0" collapsed="false">
      <c r="A69" s="2" t="n">
        <v>68</v>
      </c>
      <c r="B69" s="2" t="n">
        <v>0.7</v>
      </c>
      <c r="C69" s="2" t="n">
        <v>2.4</v>
      </c>
    </row>
    <row r="70" customFormat="false" ht="15" hidden="false" customHeight="false" outlineLevel="0" collapsed="false">
      <c r="A70" s="2" t="n">
        <v>69</v>
      </c>
      <c r="B70" s="2" t="n">
        <v>2.6</v>
      </c>
      <c r="C70" s="2" t="n">
        <v>3.4</v>
      </c>
    </row>
    <row r="71" customFormat="false" ht="15" hidden="false" customHeight="false" outlineLevel="0" collapsed="false">
      <c r="A71" s="2" t="n">
        <v>70</v>
      </c>
      <c r="B71" s="2" t="n">
        <v>4.3</v>
      </c>
      <c r="C71" s="2" t="n">
        <v>3.2</v>
      </c>
    </row>
    <row r="72" customFormat="false" ht="15" hidden="false" customHeight="false" outlineLevel="0" collapsed="false">
      <c r="A72" s="2" t="n">
        <v>71</v>
      </c>
      <c r="B72" s="2" t="n">
        <v>3.8</v>
      </c>
      <c r="C72" s="2" t="n">
        <v>2.1</v>
      </c>
    </row>
    <row r="73" customFormat="false" ht="15" hidden="false" customHeight="false" outlineLevel="0" collapsed="false">
      <c r="A73" s="2" t="n">
        <v>72</v>
      </c>
      <c r="B73" s="2" t="n">
        <v>1.6</v>
      </c>
      <c r="C73" s="2" t="n">
        <v>1.5</v>
      </c>
    </row>
    <row r="74" customFormat="false" ht="15" hidden="false" customHeight="false" outlineLevel="0" collapsed="false">
      <c r="A74" s="2" t="n">
        <v>73</v>
      </c>
      <c r="B74" s="2" t="n">
        <v>0.5</v>
      </c>
      <c r="C74" s="2" t="n">
        <v>2</v>
      </c>
    </row>
    <row r="75" customFormat="false" ht="15" hidden="false" customHeight="false" outlineLevel="0" collapsed="false">
      <c r="A75" s="2" t="n">
        <v>74</v>
      </c>
      <c r="B75" s="2" t="n">
        <v>1.7</v>
      </c>
      <c r="C75" s="2" t="n">
        <v>3.1</v>
      </c>
    </row>
    <row r="76" customFormat="false" ht="15" hidden="false" customHeight="false" outlineLevel="0" collapsed="false">
      <c r="A76" s="2" t="n">
        <v>75</v>
      </c>
      <c r="B76" s="2" t="n">
        <v>3.9</v>
      </c>
      <c r="C76" s="2" t="n">
        <v>3.4</v>
      </c>
    </row>
    <row r="77" customFormat="false" ht="15" hidden="false" customHeight="false" outlineLevel="0" collapsed="false">
      <c r="A77" s="2" t="n">
        <v>76</v>
      </c>
      <c r="B77" s="2" t="n">
        <v>4.3</v>
      </c>
      <c r="C77" s="2" t="n">
        <v>2.5</v>
      </c>
    </row>
    <row r="78" customFormat="false" ht="15" hidden="false" customHeight="false" outlineLevel="0" collapsed="false">
      <c r="A78" s="2" t="n">
        <v>77</v>
      </c>
      <c r="B78" s="2" t="n">
        <v>2.5</v>
      </c>
      <c r="C78" s="2" t="n">
        <v>1.6</v>
      </c>
    </row>
    <row r="79" customFormat="false" ht="15" hidden="false" customHeight="false" outlineLevel="0" collapsed="false">
      <c r="A79" s="2" t="n">
        <v>78</v>
      </c>
      <c r="B79" s="2" t="n">
        <v>0.6</v>
      </c>
      <c r="C79" s="2" t="n">
        <v>1.7</v>
      </c>
    </row>
    <row r="80" customFormat="false" ht="15" hidden="false" customHeight="false" outlineLevel="0" collapsed="false">
      <c r="A80" s="2" t="n">
        <v>79</v>
      </c>
      <c r="B80" s="2" t="n">
        <v>1</v>
      </c>
      <c r="C80" s="2" t="n">
        <v>2.7</v>
      </c>
    </row>
    <row r="81" customFormat="false" ht="15" hidden="false" customHeight="false" outlineLevel="0" collapsed="false">
      <c r="A81" s="2" t="n">
        <v>80</v>
      </c>
      <c r="B81" s="2" t="n">
        <v>3.2</v>
      </c>
      <c r="C81" s="2" t="n">
        <v>3.4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2026-09-15T03:55:20Z</dcterms:created>
  <dc:creator>openpyxl</dc:creator>
  <dc:description/>
  <dc:language>en-US</dc:language>
  <cp:lastModifiedBy/>
  <dcterms:modified xsi:type="dcterms:W3CDTF">2026-09-15T03:55:25Z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